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wmissouri-my.sharepoint.com/personal/cschmidt_nwmissouri_edu/Documents/Documents/2026/Spring/Data Visualization/"/>
    </mc:Choice>
  </mc:AlternateContent>
  <xr:revisionPtr revIDLastSave="182" documentId="8_{9D6EADF1-1B5E-4179-A987-5EFEDD37B23F}" xr6:coauthVersionLast="47" xr6:coauthVersionMax="47" xr10:uidLastSave="{A393E4CB-BF29-4819-A902-E58F7466E9E0}"/>
  <bookViews>
    <workbookView xWindow="-110" yWindow="-110" windowWidth="19420" windowHeight="10300" xr2:uid="{00703F84-36F5-4D5E-AB53-A19259DB94C3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P8" i="1"/>
  <c r="O5" i="1"/>
  <c r="O6" i="1"/>
  <c r="O7" i="1"/>
  <c r="O8" i="1"/>
  <c r="O10" i="1"/>
  <c r="N4" i="1"/>
  <c r="O4" i="1" s="1"/>
  <c r="N5" i="1"/>
  <c r="N6" i="1"/>
  <c r="N7" i="1"/>
  <c r="N8" i="1"/>
  <c r="N9" i="1"/>
  <c r="O9" i="1" s="1"/>
  <c r="N10" i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M4" i="1"/>
  <c r="P4" i="1" s="1"/>
  <c r="M5" i="1"/>
  <c r="P5" i="1" s="1"/>
  <c r="M6" i="1"/>
  <c r="P6" i="1" s="1"/>
  <c r="M7" i="1"/>
  <c r="P7" i="1" s="1"/>
  <c r="M8" i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T3" i="1"/>
  <c r="S3" i="1"/>
  <c r="R3" i="1"/>
  <c r="Q3" i="1"/>
  <c r="P3" i="1"/>
  <c r="O3" i="1"/>
  <c r="N3" i="1"/>
  <c r="M3" i="1"/>
  <c r="T2" i="1"/>
  <c r="S2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<sst xmlns="http://schemas.openxmlformats.org/spreadsheetml/2006/main" count="54" uniqueCount="41">
  <si>
    <t>Fighter name</t>
  </si>
  <si>
    <t>Rank</t>
  </si>
  <si>
    <t>Wins</t>
  </si>
  <si>
    <t>losses</t>
  </si>
  <si>
    <t>KO Wins</t>
  </si>
  <si>
    <t>Sub Wins</t>
  </si>
  <si>
    <t>Decsion Wins</t>
  </si>
  <si>
    <t>Significant Strikes Landed per Minute</t>
  </si>
  <si>
    <t>Significant Strikes Absorbed per Minute</t>
  </si>
  <si>
    <t>Takedowns per 15 Minutes (avg)</t>
  </si>
  <si>
    <t>Takedown Accuracy</t>
  </si>
  <si>
    <t>Sub Attempts per 15 Minutes (avg)</t>
  </si>
  <si>
    <t>Total Fights</t>
  </si>
  <si>
    <t>Finish Wins</t>
  </si>
  <si>
    <t>Finish Rate</t>
  </si>
  <si>
    <t>Win Rate</t>
  </si>
  <si>
    <t>KO Rate</t>
  </si>
  <si>
    <t>Sub Rate</t>
  </si>
  <si>
    <t>Decision Rate</t>
  </si>
  <si>
    <t>Striking Efficiency</t>
  </si>
  <si>
    <t>Style</t>
  </si>
  <si>
    <t>Islam M</t>
  </si>
  <si>
    <t>C</t>
  </si>
  <si>
    <t>Grappler</t>
  </si>
  <si>
    <t>Jack D M</t>
  </si>
  <si>
    <t>Striker</t>
  </si>
  <si>
    <t>Ian M G</t>
  </si>
  <si>
    <t>Michael M</t>
  </si>
  <si>
    <t>Belal M</t>
  </si>
  <si>
    <t>Carlos P</t>
  </si>
  <si>
    <t>Sean B</t>
  </si>
  <si>
    <t>Kamaru U</t>
  </si>
  <si>
    <t>Leon E</t>
  </si>
  <si>
    <t>Joquin B</t>
  </si>
  <si>
    <t>Gabriel B</t>
  </si>
  <si>
    <t>Gilbert B</t>
  </si>
  <si>
    <t>Geoff N</t>
  </si>
  <si>
    <t>Daniel R</t>
  </si>
  <si>
    <t>Michael P</t>
  </si>
  <si>
    <t>Colby C</t>
  </si>
  <si>
    <t>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</si>
</sst>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8973-676B-424E-BAD2-8F76054937E3}">
  <dimension ref="A1:U17"/>
  <sheetViews>
    <sheetView tabSelected="1" zoomScale="50" zoomScaleNormal="50" workbookViewId="0">
      <selection activeCell="L25" sqref="L25"/>
    </sheetView>
  </sheetViews>
  <sheetFormatPr defaultRowHeight="14.5" x14ac:dyDescent="0.35"/>
  <cols>
    <col min="1" max="1" width="17.26953125" customWidth="1"/>
    <col min="7" max="7" width="13.81640625" customWidth="1"/>
    <col min="8" max="8" width="33.1796875" customWidth="1"/>
    <col min="9" max="9" width="33.453125" customWidth="1"/>
    <col min="10" max="10" width="26.453125" customWidth="1"/>
    <col min="11" max="11" width="16.81640625" style="2" customWidth="1"/>
    <col min="12" max="12" width="27.7265625" customWidth="1"/>
    <col min="13" max="13" width="12" customWidth="1"/>
    <col min="14" max="14" width="11.7265625" customWidth="1"/>
    <col min="15" max="15" width="10.1796875" style="1" customWidth="1"/>
    <col min="16" max="18" width="8.7265625" style="1"/>
    <col min="19" max="19" width="12.1796875" style="1" customWidth="1"/>
    <col min="20" max="20" width="15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</row>
    <row r="2" spans="1:21" x14ac:dyDescent="0.35">
      <c r="A2" t="s">
        <v>21</v>
      </c>
      <c r="B2" t="s">
        <v>22</v>
      </c>
      <c r="C2">
        <v>28</v>
      </c>
      <c r="D2">
        <v>1</v>
      </c>
      <c r="E2">
        <v>5</v>
      </c>
      <c r="F2">
        <v>13</v>
      </c>
      <c r="G2">
        <v>10</v>
      </c>
      <c r="H2">
        <v>2.4500000000000002</v>
      </c>
      <c r="I2">
        <v>1.45</v>
      </c>
      <c r="J2">
        <v>3.1</v>
      </c>
      <c r="K2" s="2">
        <v>0.56000000000000005</v>
      </c>
      <c r="L2">
        <v>0.98</v>
      </c>
      <c r="M2">
        <f>C2+D2</f>
        <v>29</v>
      </c>
      <c r="N2">
        <f>E2+F2</f>
        <v>18</v>
      </c>
      <c r="O2" s="1">
        <f>IF(C2=0,0,N2/C2)</f>
        <v>0.6428571428571429</v>
      </c>
      <c r="P2" s="1">
        <f>IF(M2=0,0,C2/M2)</f>
        <v>0.96551724137931039</v>
      </c>
      <c r="Q2" s="1">
        <f>IF(C2=0,0,E2/C2)</f>
        <v>0.17857142857142858</v>
      </c>
      <c r="R2" s="1">
        <f>IF(C2=0,0,F2/C2)</f>
        <v>0.4642857142857143</v>
      </c>
      <c r="S2" s="1">
        <f xml:space="preserve"> IF(C2=0,0,G2/C2)</f>
        <v>0.35714285714285715</v>
      </c>
      <c r="T2">
        <f>H2 - I2</f>
        <v>1.0000000000000002</v>
      </c>
      <c r="U2" t="s">
        <v>23</v>
      </c>
    </row>
    <row r="3" spans="1:21" x14ac:dyDescent="0.35">
      <c r="A3" t="s">
        <v>24</v>
      </c>
      <c r="B3">
        <v>1</v>
      </c>
      <c r="C3">
        <v>18</v>
      </c>
      <c r="D3">
        <v>3</v>
      </c>
      <c r="E3">
        <v>12</v>
      </c>
      <c r="F3">
        <v>2</v>
      </c>
      <c r="G3">
        <v>4</v>
      </c>
      <c r="H3">
        <v>5.57</v>
      </c>
      <c r="I3">
        <v>3.84</v>
      </c>
      <c r="J3">
        <v>0.13</v>
      </c>
      <c r="K3" s="2">
        <v>0.1</v>
      </c>
      <c r="L3">
        <v>0.1</v>
      </c>
      <c r="M3">
        <f>C3+D3</f>
        <v>21</v>
      </c>
      <c r="N3">
        <f>E3+F3</f>
        <v>14</v>
      </c>
      <c r="O3" s="1">
        <f>IF(C3=0,0,N3/C3)</f>
        <v>0.77777777777777779</v>
      </c>
      <c r="P3" s="1">
        <f>IF(M3=0,0,C3/M3)</f>
        <v>0.8571428571428571</v>
      </c>
      <c r="Q3" s="1">
        <f>IF(C3=0,0,E3/C3)</f>
        <v>0.66666666666666663</v>
      </c>
      <c r="R3" s="1">
        <f>IF(C3=0,0,F3/C3)</f>
        <v>0.1111111111111111</v>
      </c>
      <c r="S3" s="1">
        <f xml:space="preserve"> IF(C3=0,0,G3/C3)</f>
        <v>0.22222222222222221</v>
      </c>
      <c r="T3">
        <f>H3 - I3</f>
        <v>1.7300000000000004</v>
      </c>
      <c r="U3" t="s">
        <v>25</v>
      </c>
    </row>
    <row r="4" spans="1:21" x14ac:dyDescent="0.35">
      <c r="A4" t="s">
        <v>26</v>
      </c>
      <c r="B4">
        <v>2</v>
      </c>
      <c r="C4">
        <v>17</v>
      </c>
      <c r="D4">
        <v>1</v>
      </c>
      <c r="E4">
        <v>7</v>
      </c>
      <c r="F4">
        <v>1</v>
      </c>
      <c r="G4">
        <v>9</v>
      </c>
      <c r="H4">
        <v>4.78</v>
      </c>
      <c r="I4">
        <v>2.86</v>
      </c>
      <c r="J4">
        <v>0.92</v>
      </c>
      <c r="K4" s="2">
        <v>0.31</v>
      </c>
      <c r="L4">
        <v>0.37</v>
      </c>
      <c r="M4">
        <f t="shared" ref="M4:M17" si="0">C4+D4</f>
        <v>18</v>
      </c>
      <c r="N4">
        <f t="shared" ref="N4:N17" si="1">E4+F4</f>
        <v>8</v>
      </c>
      <c r="O4" s="1">
        <f t="shared" ref="O4:O17" si="2">IF(C4=0,0,N4/C4)</f>
        <v>0.47058823529411764</v>
      </c>
      <c r="P4" s="1">
        <f t="shared" ref="P4:P17" si="3">IF(M4=0,0,C4/M4)</f>
        <v>0.94444444444444442</v>
      </c>
      <c r="Q4" s="1">
        <f t="shared" ref="Q4:Q17" si="4">IF(C4=0,0,E4/C4)</f>
        <v>0.41176470588235292</v>
      </c>
      <c r="R4" s="1">
        <f t="shared" ref="R4:R17" si="5">IF(C4=0,0,F4/C4)</f>
        <v>5.8823529411764705E-2</v>
      </c>
      <c r="S4" s="1">
        <f t="shared" ref="S4:S17" si="6" xml:space="preserve"> IF(C4=0,0,G4/C4)</f>
        <v>0.52941176470588236</v>
      </c>
      <c r="T4">
        <f t="shared" ref="T4:T17" si="7">H4 - I4</f>
        <v>1.9200000000000004</v>
      </c>
      <c r="U4" t="s">
        <v>25</v>
      </c>
    </row>
    <row r="5" spans="1:21" x14ac:dyDescent="0.35">
      <c r="A5" t="s">
        <v>27</v>
      </c>
      <c r="B5">
        <v>3</v>
      </c>
      <c r="C5">
        <v>19</v>
      </c>
      <c r="D5">
        <v>0</v>
      </c>
      <c r="E5">
        <v>14</v>
      </c>
      <c r="F5">
        <v>1</v>
      </c>
      <c r="G5">
        <v>4</v>
      </c>
      <c r="H5">
        <v>5.68</v>
      </c>
      <c r="I5">
        <v>3.26</v>
      </c>
      <c r="J5">
        <v>1.04</v>
      </c>
      <c r="K5" s="2">
        <v>0.42</v>
      </c>
      <c r="L5">
        <v>0</v>
      </c>
      <c r="M5">
        <f t="shared" si="0"/>
        <v>19</v>
      </c>
      <c r="N5">
        <f t="shared" si="1"/>
        <v>15</v>
      </c>
      <c r="O5" s="1">
        <f t="shared" si="2"/>
        <v>0.78947368421052633</v>
      </c>
      <c r="P5" s="1">
        <f t="shared" si="3"/>
        <v>1</v>
      </c>
      <c r="Q5" s="1">
        <f t="shared" si="4"/>
        <v>0.73684210526315785</v>
      </c>
      <c r="R5" s="1">
        <f t="shared" si="5"/>
        <v>5.2631578947368418E-2</v>
      </c>
      <c r="S5" s="1">
        <f t="shared" si="6"/>
        <v>0.21052631578947367</v>
      </c>
      <c r="T5">
        <f t="shared" si="7"/>
        <v>2.42</v>
      </c>
      <c r="U5" t="s">
        <v>25</v>
      </c>
    </row>
    <row r="6" spans="1:21" x14ac:dyDescent="0.35">
      <c r="A6" t="s">
        <v>28</v>
      </c>
      <c r="B6">
        <v>4</v>
      </c>
      <c r="C6">
        <v>24</v>
      </c>
      <c r="D6">
        <v>5</v>
      </c>
      <c r="E6">
        <v>5</v>
      </c>
      <c r="F6">
        <v>1</v>
      </c>
      <c r="G6">
        <v>18</v>
      </c>
      <c r="H6">
        <v>4.43</v>
      </c>
      <c r="I6">
        <v>3.82</v>
      </c>
      <c r="J6">
        <v>2.14</v>
      </c>
      <c r="K6" s="2">
        <v>0.37</v>
      </c>
      <c r="L6">
        <v>0.14000000000000001</v>
      </c>
      <c r="M6">
        <f t="shared" si="0"/>
        <v>29</v>
      </c>
      <c r="N6">
        <f t="shared" si="1"/>
        <v>6</v>
      </c>
      <c r="O6" s="1">
        <f t="shared" si="2"/>
        <v>0.25</v>
      </c>
      <c r="P6" s="1">
        <f t="shared" si="3"/>
        <v>0.82758620689655171</v>
      </c>
      <c r="Q6" s="1">
        <f t="shared" si="4"/>
        <v>0.20833333333333334</v>
      </c>
      <c r="R6" s="1">
        <f t="shared" si="5"/>
        <v>4.1666666666666664E-2</v>
      </c>
      <c r="S6" s="1">
        <f t="shared" si="6"/>
        <v>0.75</v>
      </c>
      <c r="T6">
        <f t="shared" si="7"/>
        <v>0.60999999999999988</v>
      </c>
      <c r="U6" t="s">
        <v>23</v>
      </c>
    </row>
    <row r="7" spans="1:21" x14ac:dyDescent="0.35">
      <c r="A7" t="s">
        <v>29</v>
      </c>
      <c r="B7">
        <v>5</v>
      </c>
      <c r="C7">
        <v>23</v>
      </c>
      <c r="D7">
        <v>7</v>
      </c>
      <c r="E7">
        <v>18</v>
      </c>
      <c r="F7">
        <v>3</v>
      </c>
      <c r="G7">
        <v>2</v>
      </c>
      <c r="H7">
        <v>3.77</v>
      </c>
      <c r="I7">
        <v>4.53</v>
      </c>
      <c r="J7">
        <v>0.21</v>
      </c>
      <c r="K7" s="2">
        <v>1</v>
      </c>
      <c r="L7">
        <v>0</v>
      </c>
      <c r="M7">
        <f t="shared" si="0"/>
        <v>30</v>
      </c>
      <c r="N7">
        <f t="shared" si="1"/>
        <v>21</v>
      </c>
      <c r="O7" s="1">
        <f t="shared" si="2"/>
        <v>0.91304347826086951</v>
      </c>
      <c r="P7" s="1">
        <f t="shared" si="3"/>
        <v>0.76666666666666672</v>
      </c>
      <c r="Q7" s="1">
        <f t="shared" si="4"/>
        <v>0.78260869565217395</v>
      </c>
      <c r="R7" s="1">
        <f t="shared" si="5"/>
        <v>0.13043478260869565</v>
      </c>
      <c r="S7" s="1">
        <f t="shared" si="6"/>
        <v>8.6956521739130432E-2</v>
      </c>
      <c r="T7">
        <f t="shared" si="7"/>
        <v>-0.76000000000000023</v>
      </c>
      <c r="U7" t="s">
        <v>25</v>
      </c>
    </row>
    <row r="8" spans="1:21" x14ac:dyDescent="0.35">
      <c r="A8" t="s">
        <v>30</v>
      </c>
      <c r="B8">
        <v>6</v>
      </c>
      <c r="C8">
        <v>18</v>
      </c>
      <c r="D8">
        <v>2</v>
      </c>
      <c r="E8">
        <v>3</v>
      </c>
      <c r="F8">
        <v>6</v>
      </c>
      <c r="G8">
        <v>9</v>
      </c>
      <c r="H8">
        <v>3.96</v>
      </c>
      <c r="I8">
        <v>3.05</v>
      </c>
      <c r="J8">
        <v>3.53</v>
      </c>
      <c r="K8" s="2">
        <v>0.53</v>
      </c>
      <c r="L8">
        <v>0.91</v>
      </c>
      <c r="M8">
        <f t="shared" si="0"/>
        <v>20</v>
      </c>
      <c r="N8">
        <f t="shared" si="1"/>
        <v>9</v>
      </c>
      <c r="O8" s="1">
        <f t="shared" si="2"/>
        <v>0.5</v>
      </c>
      <c r="P8" s="1">
        <f t="shared" si="3"/>
        <v>0.9</v>
      </c>
      <c r="Q8" s="1">
        <f t="shared" si="4"/>
        <v>0.16666666666666666</v>
      </c>
      <c r="R8" s="1">
        <f t="shared" si="5"/>
        <v>0.33333333333333331</v>
      </c>
      <c r="S8" s="1">
        <f t="shared" si="6"/>
        <v>0.5</v>
      </c>
      <c r="T8">
        <f t="shared" si="7"/>
        <v>0.91000000000000014</v>
      </c>
      <c r="U8" t="s">
        <v>23</v>
      </c>
    </row>
    <row r="9" spans="1:21" x14ac:dyDescent="0.35">
      <c r="A9" t="s">
        <v>31</v>
      </c>
      <c r="B9">
        <v>7</v>
      </c>
      <c r="C9">
        <v>21</v>
      </c>
      <c r="D9">
        <v>4</v>
      </c>
      <c r="E9">
        <v>9</v>
      </c>
      <c r="F9">
        <v>1</v>
      </c>
      <c r="G9">
        <v>11</v>
      </c>
      <c r="H9">
        <v>4.16</v>
      </c>
      <c r="I9">
        <v>2.67</v>
      </c>
      <c r="J9">
        <v>2.79</v>
      </c>
      <c r="K9" s="2">
        <v>0.44</v>
      </c>
      <c r="L9">
        <v>0.09</v>
      </c>
      <c r="M9">
        <f t="shared" si="0"/>
        <v>25</v>
      </c>
      <c r="N9">
        <f t="shared" si="1"/>
        <v>10</v>
      </c>
      <c r="O9" s="1">
        <f t="shared" si="2"/>
        <v>0.47619047619047616</v>
      </c>
      <c r="P9" s="1">
        <f t="shared" si="3"/>
        <v>0.84</v>
      </c>
      <c r="Q9" s="1">
        <f t="shared" si="4"/>
        <v>0.42857142857142855</v>
      </c>
      <c r="R9" s="1">
        <f t="shared" si="5"/>
        <v>4.7619047619047616E-2</v>
      </c>
      <c r="S9" s="1">
        <f t="shared" si="6"/>
        <v>0.52380952380952384</v>
      </c>
      <c r="T9">
        <f t="shared" si="7"/>
        <v>1.4900000000000002</v>
      </c>
      <c r="U9" t="s">
        <v>23</v>
      </c>
    </row>
    <row r="10" spans="1:21" x14ac:dyDescent="0.35">
      <c r="A10" t="s">
        <v>32</v>
      </c>
      <c r="B10">
        <v>8</v>
      </c>
      <c r="C10">
        <v>22</v>
      </c>
      <c r="D10">
        <v>6</v>
      </c>
      <c r="E10">
        <v>7</v>
      </c>
      <c r="F10">
        <v>3</v>
      </c>
      <c r="G10">
        <v>12</v>
      </c>
      <c r="H10">
        <v>2.6</v>
      </c>
      <c r="I10">
        <v>2.44</v>
      </c>
      <c r="J10">
        <v>1.25</v>
      </c>
      <c r="K10" s="2">
        <v>0.37</v>
      </c>
      <c r="L10">
        <v>0.36</v>
      </c>
      <c r="M10">
        <f t="shared" si="0"/>
        <v>28</v>
      </c>
      <c r="N10">
        <f t="shared" si="1"/>
        <v>10</v>
      </c>
      <c r="O10" s="1">
        <f t="shared" si="2"/>
        <v>0.45454545454545453</v>
      </c>
      <c r="P10" s="1">
        <f t="shared" si="3"/>
        <v>0.7857142857142857</v>
      </c>
      <c r="Q10" s="1">
        <f t="shared" si="4"/>
        <v>0.31818181818181818</v>
      </c>
      <c r="R10" s="1">
        <f t="shared" si="5"/>
        <v>0.13636363636363635</v>
      </c>
      <c r="S10" s="1">
        <f t="shared" si="6"/>
        <v>0.54545454545454541</v>
      </c>
      <c r="T10">
        <f t="shared" si="7"/>
        <v>0.16000000000000014</v>
      </c>
      <c r="U10" t="s">
        <v>25</v>
      </c>
    </row>
    <row r="11" spans="1:21" x14ac:dyDescent="0.35">
      <c r="A11" t="s">
        <v>33</v>
      </c>
      <c r="B11">
        <v>9</v>
      </c>
      <c r="C11">
        <v>21</v>
      </c>
      <c r="D11">
        <v>7</v>
      </c>
      <c r="E11">
        <v>15</v>
      </c>
      <c r="F11">
        <v>0</v>
      </c>
      <c r="G11">
        <v>6</v>
      </c>
      <c r="H11">
        <v>3.88</v>
      </c>
      <c r="I11">
        <v>2.93</v>
      </c>
      <c r="J11">
        <v>1.54</v>
      </c>
      <c r="K11" s="2">
        <v>0.45</v>
      </c>
      <c r="L11">
        <v>0.08</v>
      </c>
      <c r="M11">
        <f t="shared" si="0"/>
        <v>28</v>
      </c>
      <c r="N11">
        <f t="shared" si="1"/>
        <v>15</v>
      </c>
      <c r="O11" s="1">
        <f t="shared" si="2"/>
        <v>0.7142857142857143</v>
      </c>
      <c r="P11" s="1">
        <f t="shared" si="3"/>
        <v>0.75</v>
      </c>
      <c r="Q11" s="1">
        <f t="shared" si="4"/>
        <v>0.7142857142857143</v>
      </c>
      <c r="R11" s="1">
        <f t="shared" si="5"/>
        <v>0</v>
      </c>
      <c r="S11" s="1">
        <f t="shared" si="6"/>
        <v>0.2857142857142857</v>
      </c>
      <c r="T11">
        <f t="shared" si="7"/>
        <v>0.94999999999999973</v>
      </c>
      <c r="U11" t="s">
        <v>25</v>
      </c>
    </row>
    <row r="12" spans="1:21" x14ac:dyDescent="0.35">
      <c r="A12" t="s">
        <v>34</v>
      </c>
      <c r="B12">
        <v>10</v>
      </c>
      <c r="C12">
        <v>19</v>
      </c>
      <c r="D12">
        <v>1</v>
      </c>
      <c r="E12">
        <v>4</v>
      </c>
      <c r="F12">
        <v>13</v>
      </c>
      <c r="G12">
        <v>2</v>
      </c>
      <c r="H12">
        <v>4.6100000000000003</v>
      </c>
      <c r="I12">
        <v>3.68</v>
      </c>
      <c r="J12">
        <v>3.6</v>
      </c>
      <c r="K12" s="2">
        <v>0.56000000000000005</v>
      </c>
      <c r="L12">
        <v>1.44</v>
      </c>
      <c r="M12">
        <f t="shared" si="0"/>
        <v>20</v>
      </c>
      <c r="N12">
        <f t="shared" si="1"/>
        <v>17</v>
      </c>
      <c r="O12" s="1">
        <f t="shared" si="2"/>
        <v>0.89473684210526316</v>
      </c>
      <c r="P12" s="1">
        <f t="shared" si="3"/>
        <v>0.95</v>
      </c>
      <c r="Q12" s="1">
        <f t="shared" si="4"/>
        <v>0.21052631578947367</v>
      </c>
      <c r="R12" s="1">
        <f t="shared" si="5"/>
        <v>0.68421052631578949</v>
      </c>
      <c r="S12" s="1">
        <f t="shared" si="6"/>
        <v>0.10526315789473684</v>
      </c>
      <c r="T12">
        <f t="shared" si="7"/>
        <v>0.93000000000000016</v>
      </c>
      <c r="U12" t="s">
        <v>23</v>
      </c>
    </row>
    <row r="13" spans="1:21" x14ac:dyDescent="0.35">
      <c r="A13" t="s">
        <v>35</v>
      </c>
      <c r="B13">
        <v>11</v>
      </c>
      <c r="C13">
        <v>22</v>
      </c>
      <c r="D13">
        <v>9</v>
      </c>
      <c r="E13">
        <v>6</v>
      </c>
      <c r="F13">
        <v>11</v>
      </c>
      <c r="G13">
        <v>5</v>
      </c>
      <c r="H13">
        <v>3.15</v>
      </c>
      <c r="I13">
        <v>3.64</v>
      </c>
      <c r="J13">
        <v>2.12</v>
      </c>
      <c r="K13" s="2">
        <v>0.38</v>
      </c>
      <c r="L13">
        <v>0.46</v>
      </c>
      <c r="M13">
        <f t="shared" si="0"/>
        <v>31</v>
      </c>
      <c r="N13">
        <f t="shared" si="1"/>
        <v>17</v>
      </c>
      <c r="O13" s="1">
        <f t="shared" si="2"/>
        <v>0.77272727272727271</v>
      </c>
      <c r="P13" s="1">
        <f t="shared" si="3"/>
        <v>0.70967741935483875</v>
      </c>
      <c r="Q13" s="1">
        <f t="shared" si="4"/>
        <v>0.27272727272727271</v>
      </c>
      <c r="R13" s="1">
        <f t="shared" si="5"/>
        <v>0.5</v>
      </c>
      <c r="S13" s="1">
        <f t="shared" si="6"/>
        <v>0.22727272727272727</v>
      </c>
      <c r="T13">
        <f t="shared" si="7"/>
        <v>-0.49000000000000021</v>
      </c>
      <c r="U13" t="s">
        <v>40</v>
      </c>
    </row>
    <row r="14" spans="1:21" x14ac:dyDescent="0.35">
      <c r="A14" t="s">
        <v>36</v>
      </c>
      <c r="B14">
        <v>12</v>
      </c>
      <c r="C14">
        <v>16</v>
      </c>
      <c r="D14">
        <v>7</v>
      </c>
      <c r="E14">
        <v>10</v>
      </c>
      <c r="F14">
        <v>2</v>
      </c>
      <c r="G14">
        <v>4</v>
      </c>
      <c r="H14">
        <v>5.05</v>
      </c>
      <c r="I14">
        <v>5.48</v>
      </c>
      <c r="J14">
        <v>0.54</v>
      </c>
      <c r="K14" s="2">
        <v>0.45</v>
      </c>
      <c r="L14">
        <v>0.11</v>
      </c>
      <c r="M14">
        <f t="shared" si="0"/>
        <v>23</v>
      </c>
      <c r="N14">
        <f t="shared" si="1"/>
        <v>12</v>
      </c>
      <c r="O14" s="1">
        <f t="shared" si="2"/>
        <v>0.75</v>
      </c>
      <c r="P14" s="1">
        <f t="shared" si="3"/>
        <v>0.69565217391304346</v>
      </c>
      <c r="Q14" s="1">
        <f t="shared" si="4"/>
        <v>0.625</v>
      </c>
      <c r="R14" s="1">
        <f t="shared" si="5"/>
        <v>0.125</v>
      </c>
      <c r="S14" s="1">
        <f t="shared" si="6"/>
        <v>0.25</v>
      </c>
      <c r="T14">
        <f t="shared" si="7"/>
        <v>-0.4300000000000006</v>
      </c>
      <c r="U14" t="s">
        <v>25</v>
      </c>
    </row>
    <row r="15" spans="1:21" x14ac:dyDescent="0.35">
      <c r="A15" t="s">
        <v>37</v>
      </c>
      <c r="B15">
        <v>13</v>
      </c>
      <c r="C15">
        <v>20</v>
      </c>
      <c r="D15">
        <v>5</v>
      </c>
      <c r="E15">
        <v>9</v>
      </c>
      <c r="F15">
        <v>4</v>
      </c>
      <c r="G15">
        <v>7</v>
      </c>
      <c r="H15">
        <v>7.2</v>
      </c>
      <c r="I15">
        <v>5.4</v>
      </c>
      <c r="J15">
        <v>0.51</v>
      </c>
      <c r="K15" s="2">
        <v>0.5</v>
      </c>
      <c r="L15">
        <v>0.08</v>
      </c>
      <c r="M15">
        <f t="shared" si="0"/>
        <v>25</v>
      </c>
      <c r="N15">
        <f t="shared" si="1"/>
        <v>13</v>
      </c>
      <c r="O15" s="1">
        <f t="shared" si="2"/>
        <v>0.65</v>
      </c>
      <c r="P15" s="1">
        <f t="shared" si="3"/>
        <v>0.8</v>
      </c>
      <c r="Q15" s="1">
        <f t="shared" si="4"/>
        <v>0.45</v>
      </c>
      <c r="R15" s="1">
        <f t="shared" si="5"/>
        <v>0.2</v>
      </c>
      <c r="S15" s="1">
        <f t="shared" si="6"/>
        <v>0.35</v>
      </c>
      <c r="T15">
        <f t="shared" si="7"/>
        <v>1.7999999999999998</v>
      </c>
      <c r="U15" t="s">
        <v>25</v>
      </c>
    </row>
    <row r="16" spans="1:21" x14ac:dyDescent="0.35">
      <c r="A16" t="s">
        <v>38</v>
      </c>
      <c r="B16">
        <v>14</v>
      </c>
      <c r="C16">
        <v>24</v>
      </c>
      <c r="D16">
        <v>3</v>
      </c>
      <c r="E16">
        <v>13</v>
      </c>
      <c r="F16">
        <v>3</v>
      </c>
      <c r="G16">
        <v>8</v>
      </c>
      <c r="H16">
        <v>2.39</v>
      </c>
      <c r="I16">
        <v>1.68</v>
      </c>
      <c r="J16">
        <v>0.23</v>
      </c>
      <c r="K16" s="2">
        <v>0.17</v>
      </c>
      <c r="L16">
        <v>0</v>
      </c>
      <c r="M16">
        <f t="shared" si="0"/>
        <v>27</v>
      </c>
      <c r="N16">
        <f t="shared" si="1"/>
        <v>16</v>
      </c>
      <c r="O16" s="1">
        <f t="shared" si="2"/>
        <v>0.66666666666666663</v>
      </c>
      <c r="P16" s="1">
        <f t="shared" si="3"/>
        <v>0.88888888888888884</v>
      </c>
      <c r="Q16" s="1">
        <f t="shared" si="4"/>
        <v>0.54166666666666663</v>
      </c>
      <c r="R16" s="1">
        <f t="shared" si="5"/>
        <v>0.125</v>
      </c>
      <c r="S16" s="1">
        <f t="shared" si="6"/>
        <v>0.33333333333333331</v>
      </c>
      <c r="T16">
        <f t="shared" si="7"/>
        <v>0.71000000000000019</v>
      </c>
      <c r="U16" t="s">
        <v>25</v>
      </c>
    </row>
    <row r="17" spans="1:21" x14ac:dyDescent="0.35">
      <c r="A17" t="s">
        <v>39</v>
      </c>
      <c r="B17">
        <v>15</v>
      </c>
      <c r="C17">
        <v>17</v>
      </c>
      <c r="D17">
        <v>5</v>
      </c>
      <c r="E17">
        <v>4</v>
      </c>
      <c r="F17">
        <v>4</v>
      </c>
      <c r="G17">
        <v>9</v>
      </c>
      <c r="H17">
        <v>3.81</v>
      </c>
      <c r="I17">
        <v>3.09</v>
      </c>
      <c r="J17">
        <v>3.64</v>
      </c>
      <c r="K17" s="2">
        <v>0.43</v>
      </c>
      <c r="L17">
        <v>0.16</v>
      </c>
      <c r="M17">
        <f t="shared" si="0"/>
        <v>22</v>
      </c>
      <c r="N17">
        <f t="shared" si="1"/>
        <v>8</v>
      </c>
      <c r="O17" s="1">
        <f t="shared" si="2"/>
        <v>0.47058823529411764</v>
      </c>
      <c r="P17" s="1">
        <f t="shared" si="3"/>
        <v>0.77272727272727271</v>
      </c>
      <c r="Q17" s="1">
        <f t="shared" si="4"/>
        <v>0.23529411764705882</v>
      </c>
      <c r="R17" s="1">
        <f t="shared" si="5"/>
        <v>0.23529411764705882</v>
      </c>
      <c r="S17" s="1">
        <f t="shared" si="6"/>
        <v>0.52941176470588236</v>
      </c>
      <c r="T17">
        <f t="shared" si="7"/>
        <v>0.7200000000000002</v>
      </c>
      <c r="U17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35011f-1748-4902-8dee-6f4dac036859}" enabled="0" method="" siteId="{7335011f-1748-4902-8dee-6f4dac036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Schmidt,Cole J</dc:creator>
  <cp:keywords/>
  <dc:description/>
  <cp:lastModifiedBy>Schmidt,Cole J</cp:lastModifiedBy>
  <cp:revision/>
  <dcterms:created xsi:type="dcterms:W3CDTF">2026-02-20T01:54:49Z</dcterms:created>
  <dcterms:modified xsi:type="dcterms:W3CDTF">2026-02-26T05:00:40Z</dcterms:modified>
  <cp:category/>
  <cp:contentStatus/>
</cp:coreProperties>
</file>